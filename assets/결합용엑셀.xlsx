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손명선 사원\01.과업\24-31-010 2030 가평 군관리계획(재정비) 수립 용역\02.작업\24. 용도지역 농지 관리카드\[A유형]\"/>
    </mc:Choice>
  </mc:AlternateContent>
  <xr:revisionPtr revIDLastSave="0" documentId="13_ncr:1_{589FF913-481D-428F-9123-6881087D7252}" xr6:coauthVersionLast="47" xr6:coauthVersionMax="47" xr10:uidLastSave="{00000000-0000-0000-0000-000000000000}"/>
  <bookViews>
    <workbookView xWindow="28680" yWindow="-120" windowWidth="29040" windowHeight="15720" xr2:uid="{95B9E402-D103-4531-AD16-AE26F9C928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/>
  <c r="A2" i="1"/>
  <c r="G3" i="1"/>
  <c r="H3" i="1"/>
  <c r="M3" i="1" s="1"/>
  <c r="R3" i="1" s="1"/>
  <c r="W3" i="1" s="1"/>
  <c r="I3" i="1"/>
  <c r="N3" i="1" s="1"/>
  <c r="S3" i="1" s="1"/>
  <c r="X3" i="1" s="1"/>
  <c r="J3" i="1"/>
  <c r="K3" i="1"/>
  <c r="P3" i="1" s="1"/>
  <c r="U3" i="1" s="1"/>
  <c r="Z3" i="1" s="1"/>
  <c r="L3" i="1"/>
  <c r="Q3" i="1" s="1"/>
  <c r="V3" i="1" s="1"/>
  <c r="O3" i="1"/>
  <c r="T3" i="1" s="1"/>
  <c r="Y3" i="1" s="1"/>
  <c r="G4" i="1"/>
  <c r="L4" i="1" s="1"/>
  <c r="Q4" i="1" s="1"/>
  <c r="V4" i="1" s="1"/>
  <c r="H4" i="1"/>
  <c r="I4" i="1"/>
  <c r="N4" i="1" s="1"/>
  <c r="S4" i="1" s="1"/>
  <c r="X4" i="1" s="1"/>
  <c r="J4" i="1"/>
  <c r="O4" i="1" s="1"/>
  <c r="T4" i="1" s="1"/>
  <c r="Y4" i="1" s="1"/>
  <c r="K4" i="1"/>
  <c r="P4" i="1" s="1"/>
  <c r="U4" i="1" s="1"/>
  <c r="Z4" i="1" s="1"/>
  <c r="M4" i="1"/>
  <c r="R4" i="1" s="1"/>
  <c r="W4" i="1" s="1"/>
  <c r="K2" i="1"/>
  <c r="P2" i="1" s="1"/>
  <c r="U2" i="1" s="1"/>
  <c r="Z2" i="1" s="1"/>
  <c r="J2" i="1"/>
  <c r="O2" i="1" s="1"/>
  <c r="T2" i="1" s="1"/>
  <c r="Y2" i="1" s="1"/>
  <c r="I2" i="1"/>
  <c r="N2" i="1" s="1"/>
  <c r="S2" i="1" s="1"/>
  <c r="X2" i="1" s="1"/>
  <c r="H2" i="1"/>
  <c r="M2" i="1" s="1"/>
  <c r="R2" i="1" s="1"/>
  <c r="W2" i="1" s="1"/>
  <c r="G2" i="1"/>
  <c r="L2" i="1" s="1"/>
  <c r="Q2" i="1" s="1"/>
  <c r="V2" i="1" s="1"/>
</calcChain>
</file>

<file path=xl/sharedStrings.xml><?xml version="1.0" encoding="utf-8"?>
<sst xmlns="http://schemas.openxmlformats.org/spreadsheetml/2006/main" count="73" uniqueCount="50">
  <si>
    <t>유형분류</t>
    <phoneticPr fontId="1" type="noConversion"/>
  </si>
  <si>
    <t>위치</t>
    <phoneticPr fontId="1" type="noConversion"/>
  </si>
  <si>
    <t>기정</t>
    <phoneticPr fontId="1" type="noConversion"/>
  </si>
  <si>
    <t>변경</t>
    <phoneticPr fontId="1" type="noConversion"/>
  </si>
  <si>
    <t>변경사유</t>
    <phoneticPr fontId="1" type="noConversion"/>
  </si>
  <si>
    <t>A-가평-001-1</t>
  </si>
  <si>
    <t>경기도 가평군 가평읍 읍내리 683일원</t>
  </si>
  <si>
    <t>A-청평-003-1</t>
  </si>
  <si>
    <t>경기도 가평군 청평면 청평리 403-5일원</t>
  </si>
  <si>
    <t>A-청평-003-2</t>
  </si>
  <si>
    <t>경기도 가평군 청평면 청평리 79-56일원</t>
  </si>
  <si>
    <t>자연녹지지역</t>
  </si>
  <si>
    <t>제2종일반주거지역</t>
  </si>
  <si>
    <t>준주거지역</t>
  </si>
  <si>
    <t>장기미집행시설로 해제된 시설에 대해 선형을 변경하여 재결정하고자 하는 사항으로 군계획시설(소로2-100) 경계를 기준으로 용도지역 경계설정 기준에 부합하도록 주거지역 및 녹지지역 경계 변경</t>
  </si>
  <si>
    <t>토지적성평가 마등급(100%), 군계획시설(철도) 폐지된 지역임을 고려하여 용도지역 정형성 확보차원에서 인접 용도지역인 용도지역(준주거지역, 제2종일반주거지역)으로 변경</t>
  </si>
  <si>
    <t>■  농지전용협의 총괄표</t>
  </si>
  <si>
    <t>※ 농지협의요청서 상 합계면적(9,100.0㎡)과 아래 총괄표 상 총면적(6,995.0㎡)의 차이면적(2,105㎡)은 군계획시설에 대한 농지협의 대상과 중복되어 용도지역에 대한 농지협의 면적에서 제외하였음</t>
  </si>
  <si>
    <t>(단위 : ㎡)</t>
  </si>
  <si>
    <t>구분</t>
  </si>
  <si>
    <t>용도지역</t>
  </si>
  <si>
    <t>총면적</t>
  </si>
  <si>
    <t>농   지 (㎡)</t>
  </si>
  <si>
    <t>비 농 지
(㎡)</t>
  </si>
  <si>
    <t>소유자</t>
  </si>
  <si>
    <t>비 고
(경지정리
편입면적)</t>
  </si>
  <si>
    <t>계 (A+B+C)</t>
  </si>
  <si>
    <t>농업진흥구역 (A)</t>
  </si>
  <si>
    <t>농업보호구역 (B)</t>
  </si>
  <si>
    <t>진흥지역밖 (C)</t>
  </si>
  <si>
    <t>계</t>
  </si>
  <si>
    <t>답</t>
  </si>
  <si>
    <t>전</t>
  </si>
  <si>
    <t>과</t>
  </si>
  <si>
    <t>농지개량시설</t>
  </si>
  <si>
    <t>소계</t>
  </si>
  <si>
    <t>총계</t>
  </si>
  <si>
    <t>A-가평-001-1
(가평읍 읍내리 683번지 외 20필지)</t>
  </si>
  <si>
    <t>A-청평-003-1
(청평면 청평리 403-12번지 외 5필지)</t>
  </si>
  <si>
    <t>A-청평-003-2
(청평면 청평리 79-124번지 외 12필지)</t>
  </si>
  <si>
    <t>이미지1</t>
    <phoneticPr fontId="1" type="noConversion"/>
  </si>
  <si>
    <t>이미지2</t>
    <phoneticPr fontId="1" type="noConversion"/>
  </si>
  <si>
    <t>D:\손명선 사원\01.과업\24-31-010 2030 가평 군관리계획(재정비) 수립 용역\02.작업\24. 용도지역 농지 관리카드\[A유형]\[이미지]\1\A-가평-001-1.png</t>
  </si>
  <si>
    <t>D:\손명선 사원\01.과업\24-31-010 2030 가평 군관리계획(재정비) 수립 용역\02.작업\24. 용도지역 농지 관리카드\[A유형]\[이미지]\1\A-청평-003-1.png</t>
  </si>
  <si>
    <t>D:\손명선 사원\01.과업\24-31-010 2030 가평 군관리계획(재정비) 수립 용역\02.작업\24. 용도지역 농지 관리카드\[A유형]\[이미지]\1\A-청평-003-2.png</t>
  </si>
  <si>
    <t>D:\손명선 사원\01.과업\24-31-010 2030 가평 군관리계획(재정비) 수립 용역\02.작업\24. 용도지역 농지 관리카드\[A유형]\[이미지]\2\A-가평-001-1.png</t>
  </si>
  <si>
    <t>D:\손명선 사원\01.과업\24-31-010 2030 가평 군관리계획(재정비) 수립 용역\02.작업\24. 용도지역 농지 관리카드\[A유형]\[이미지]\2\A-청평-003-1.png</t>
  </si>
  <si>
    <t>D:\손명선 사원\01.과업\24-31-010 2030 가평 군관리계획(재정비) 수립 용역\02.작업\24. 용도지역 농지 관리카드\[A유형]\[이미지]\2\A-청평-003-2.png</t>
  </si>
  <si>
    <t>ID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</si>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</sst>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\-#,##0.0;&quot;-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582A-799C-45AC-9E00-EB1058F01A36}">
  <dimension ref="A1:AB12"/>
  <sheetViews>
    <sheetView tabSelected="1" topLeftCell="V1" zoomScale="70" zoomScaleNormal="70" workbookViewId="0">
      <selection activeCell="AA12" sqref="AA12"/>
    </sheetView>
  </sheetViews>
  <sheetFormatPr defaultRowHeight="16.5" x14ac:dyDescent="0.3"/>
  <cols>
    <col min="1" max="2" width="13.75" bestFit="1" customWidth="1"/>
    <col min="3" max="3" width="41.75" bestFit="1" customWidth="1"/>
    <col min="4" max="5" width="18.375" bestFit="1" customWidth="1"/>
    <col min="6" max="6" width="183.75" bestFit="1" customWidth="1"/>
    <col min="27" max="27" width="149.625" bestFit="1" customWidth="1"/>
    <col min="28" max="28" width="132.5" bestFit="1" customWidth="1"/>
  </cols>
  <sheetData>
    <row r="1" spans="1:28" s="2" customFormat="1" x14ac:dyDescent="0.3">
      <c r="A1" s="2" t="s">
        <v>48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>
        <v>1</v>
      </c>
      <c r="H1" s="2">
        <v>2</v>
      </c>
      <c r="I1" s="2">
        <v>3</v>
      </c>
      <c r="J1" s="2">
        <v>4</v>
      </c>
      <c r="K1" s="2">
        <v>5</v>
      </c>
      <c r="L1" s="2">
        <v>6</v>
      </c>
      <c r="M1" s="2">
        <v>7</v>
      </c>
      <c r="N1" s="2">
        <v>8</v>
      </c>
      <c r="O1" s="2">
        <v>9</v>
      </c>
      <c r="P1" s="2">
        <v>10</v>
      </c>
      <c r="Q1" s="2">
        <v>11</v>
      </c>
      <c r="R1" s="2">
        <v>12</v>
      </c>
      <c r="S1" s="2">
        <v>13</v>
      </c>
      <c r="T1" s="2">
        <v>14</v>
      </c>
      <c r="U1" s="2">
        <v>15</v>
      </c>
      <c r="V1" s="2">
        <v>16</v>
      </c>
      <c r="W1" s="2">
        <v>17</v>
      </c>
      <c r="X1" s="2">
        <v>18</v>
      </c>
      <c r="Y1" s="2">
        <v>19</v>
      </c>
      <c r="Z1" s="2">
        <v>20</v>
      </c>
      <c r="AA1" s="2" t="s">
        <v>40</v>
      </c>
      <c r="AB1" s="2" t="s">
        <v>41</v>
      </c>
    </row>
    <row r="2" spans="1:28" x14ac:dyDescent="0.3">
      <c r="A2" t="str">
        <f>B2</f>
        <v>A-가평-001-1</v>
      </c>
      <c r="B2" t="s">
        <v>5</v>
      </c>
      <c r="C2" t="s">
        <v>6</v>
      </c>
      <c r="D2" t="s">
        <v>11</v>
      </c>
      <c r="E2" t="s">
        <v>12</v>
      </c>
      <c r="F2" t="s">
        <v>14</v>
      </c>
      <c r="G2" s="3">
        <f>Sheet2!V7</f>
        <v>4102</v>
      </c>
      <c r="H2" s="3">
        <f>Sheet2!X7</f>
        <v>145</v>
      </c>
      <c r="I2" s="3">
        <f>Sheet2!W7</f>
        <v>3395</v>
      </c>
      <c r="J2" s="3">
        <f>Sheet2!Y7</f>
        <v>0</v>
      </c>
      <c r="K2" s="3">
        <f>Sheet2!Z7</f>
        <v>562</v>
      </c>
      <c r="L2" s="3">
        <f>G2</f>
        <v>4102</v>
      </c>
      <c r="M2" s="3">
        <f t="shared" ref="M2:P2" si="0">H2</f>
        <v>145</v>
      </c>
      <c r="N2" s="3">
        <f t="shared" si="0"/>
        <v>3395</v>
      </c>
      <c r="O2" s="3">
        <f t="shared" si="0"/>
        <v>0</v>
      </c>
      <c r="P2" s="3">
        <f t="shared" si="0"/>
        <v>562</v>
      </c>
      <c r="Q2" s="3">
        <f>L2</f>
        <v>4102</v>
      </c>
      <c r="R2" s="3">
        <f t="shared" ref="R2:U2" si="1">M2</f>
        <v>145</v>
      </c>
      <c r="S2" s="3">
        <f t="shared" si="1"/>
        <v>3395</v>
      </c>
      <c r="T2" s="3">
        <f t="shared" si="1"/>
        <v>0</v>
      </c>
      <c r="U2" s="3">
        <f t="shared" si="1"/>
        <v>562</v>
      </c>
      <c r="V2" s="3">
        <f>Q2</f>
        <v>4102</v>
      </c>
      <c r="W2" s="3">
        <f t="shared" ref="W2:Z2" si="2">R2</f>
        <v>145</v>
      </c>
      <c r="X2" s="3">
        <f t="shared" si="2"/>
        <v>3395</v>
      </c>
      <c r="Y2" s="3">
        <f t="shared" si="2"/>
        <v>0</v>
      </c>
      <c r="Z2" s="3">
        <f t="shared" si="2"/>
        <v>562</v>
      </c>
      <c r="AA2" t="s">
        <v>42</v>
      </c>
      <c r="AB2" t="s">
        <v>45</v>
      </c>
    </row>
    <row r="3" spans="1:28" x14ac:dyDescent="0.3">
      <c r="A3" t="str">
        <f t="shared" ref="A3:A4" si="3">B3</f>
        <v>A-청평-003-1</v>
      </c>
      <c r="B3" t="s">
        <v>7</v>
      </c>
      <c r="C3" t="s">
        <v>8</v>
      </c>
      <c r="D3" t="s">
        <v>11</v>
      </c>
      <c r="E3" t="s">
        <v>13</v>
      </c>
      <c r="F3" t="s">
        <v>15</v>
      </c>
      <c r="G3" s="3">
        <f>Sheet2!V8</f>
        <v>117</v>
      </c>
      <c r="H3" s="3">
        <f>Sheet2!X8</f>
        <v>117</v>
      </c>
      <c r="I3" s="3">
        <f>Sheet2!W8</f>
        <v>0</v>
      </c>
      <c r="J3" s="3">
        <f>Sheet2!Y8</f>
        <v>0</v>
      </c>
      <c r="K3" s="3">
        <f>Sheet2!Z8</f>
        <v>0</v>
      </c>
      <c r="L3" s="3">
        <f t="shared" ref="L3:L4" si="4">G3</f>
        <v>117</v>
      </c>
      <c r="M3" s="3">
        <f t="shared" ref="M3:M4" si="5">H3</f>
        <v>117</v>
      </c>
      <c r="N3" s="3">
        <f t="shared" ref="N3:N4" si="6">I3</f>
        <v>0</v>
      </c>
      <c r="O3" s="3">
        <f t="shared" ref="O3:O4" si="7">J3</f>
        <v>0</v>
      </c>
      <c r="P3" s="3">
        <f t="shared" ref="P3:P4" si="8">K3</f>
        <v>0</v>
      </c>
      <c r="Q3" s="3">
        <f t="shared" ref="Q3:Q4" si="9">L3</f>
        <v>117</v>
      </c>
      <c r="R3" s="3">
        <f t="shared" ref="R3:R4" si="10">M3</f>
        <v>117</v>
      </c>
      <c r="S3" s="3">
        <f t="shared" ref="S3:S4" si="11">N3</f>
        <v>0</v>
      </c>
      <c r="T3" s="3">
        <f t="shared" ref="T3:T4" si="12">O3</f>
        <v>0</v>
      </c>
      <c r="U3" s="3">
        <f t="shared" ref="U3:U4" si="13">P3</f>
        <v>0</v>
      </c>
      <c r="V3" s="3">
        <f t="shared" ref="V3:V4" si="14">Q3</f>
        <v>117</v>
      </c>
      <c r="W3" s="3">
        <f t="shared" ref="W3:W4" si="15">R3</f>
        <v>117</v>
      </c>
      <c r="X3" s="3">
        <f t="shared" ref="X3:X4" si="16">S3</f>
        <v>0</v>
      </c>
      <c r="Y3" s="3">
        <f t="shared" ref="Y3:Y4" si="17">T3</f>
        <v>0</v>
      </c>
      <c r="Z3" s="3">
        <f t="shared" ref="Z3:Z4" si="18">U3</f>
        <v>0</v>
      </c>
      <c r="AA3" t="s">
        <v>43</v>
      </c>
      <c r="AB3" t="s">
        <v>46</v>
      </c>
    </row>
    <row r="4" spans="1:28" x14ac:dyDescent="0.3">
      <c r="A4" t="str">
        <f t="shared" si="3"/>
        <v>A-청평-003-2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s="3">
        <f>Sheet2!V9</f>
        <v>902</v>
      </c>
      <c r="H4" s="3">
        <f>Sheet2!X9</f>
        <v>115</v>
      </c>
      <c r="I4" s="3">
        <f>Sheet2!W9</f>
        <v>787</v>
      </c>
      <c r="J4" s="3">
        <f>Sheet2!Y9</f>
        <v>0</v>
      </c>
      <c r="K4" s="3">
        <f>Sheet2!Z9</f>
        <v>0</v>
      </c>
      <c r="L4" s="3">
        <f t="shared" si="4"/>
        <v>902</v>
      </c>
      <c r="M4" s="3">
        <f t="shared" si="5"/>
        <v>115</v>
      </c>
      <c r="N4" s="3">
        <f t="shared" si="6"/>
        <v>787</v>
      </c>
      <c r="O4" s="3">
        <f t="shared" si="7"/>
        <v>0</v>
      </c>
      <c r="P4" s="3">
        <f t="shared" si="8"/>
        <v>0</v>
      </c>
      <c r="Q4" s="3">
        <f t="shared" si="9"/>
        <v>902</v>
      </c>
      <c r="R4" s="3">
        <f t="shared" si="10"/>
        <v>115</v>
      </c>
      <c r="S4" s="3">
        <f t="shared" si="11"/>
        <v>787</v>
      </c>
      <c r="T4" s="3">
        <f t="shared" si="12"/>
        <v>0</v>
      </c>
      <c r="U4" s="3">
        <f t="shared" si="13"/>
        <v>0</v>
      </c>
      <c r="V4" s="3">
        <f t="shared" si="14"/>
        <v>902</v>
      </c>
      <c r="W4" s="3">
        <f t="shared" si="15"/>
        <v>115</v>
      </c>
      <c r="X4" s="3">
        <f t="shared" si="16"/>
        <v>787</v>
      </c>
      <c r="Y4" s="3">
        <f t="shared" si="17"/>
        <v>0</v>
      </c>
      <c r="Z4" s="3">
        <f t="shared" si="18"/>
        <v>0</v>
      </c>
      <c r="AA4" t="s">
        <v>44</v>
      </c>
      <c r="AB4" t="s">
        <v>47</v>
      </c>
    </row>
    <row r="12" spans="1:28" x14ac:dyDescent="0.3">
      <c r="AA12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0CF7-DE39-42FA-8A44-7541565428C8}">
  <dimension ref="A1:AE9"/>
  <sheetViews>
    <sheetView workbookViewId="0"/>
  </sheetViews>
  <sheetFormatPr defaultRowHeight="16.5" x14ac:dyDescent="0.3"/>
  <sheetData>
    <row r="1" spans="1:31" x14ac:dyDescent="0.3">
      <c r="A1" s="1" t="s">
        <v>16</v>
      </c>
      <c r="B1" s="1"/>
      <c r="C1" s="1"/>
      <c r="D1" s="1"/>
      <c r="E1" s="1"/>
      <c r="F1" s="1"/>
      <c r="G1" s="1" t="s">
        <v>17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18</v>
      </c>
      <c r="AD1" s="1"/>
      <c r="AE1" s="1"/>
    </row>
    <row r="2" spans="1:31" x14ac:dyDescent="0.3">
      <c r="A2" s="1" t="s">
        <v>19</v>
      </c>
      <c r="B2" s="1" t="s">
        <v>20</v>
      </c>
      <c r="C2" s="1"/>
      <c r="D2" s="1"/>
      <c r="E2" s="1"/>
      <c r="F2" s="1" t="s">
        <v>21</v>
      </c>
      <c r="G2" s="1" t="s">
        <v>22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23</v>
      </c>
      <c r="AB2" s="1" t="s">
        <v>24</v>
      </c>
      <c r="AC2" s="1" t="s">
        <v>25</v>
      </c>
      <c r="AD2" s="1"/>
      <c r="AE2" s="1"/>
    </row>
    <row r="3" spans="1:31" x14ac:dyDescent="0.3">
      <c r="A3" s="1"/>
      <c r="B3" s="1"/>
      <c r="C3" s="1"/>
      <c r="D3" s="1"/>
      <c r="E3" s="1"/>
      <c r="F3" s="1"/>
      <c r="G3" s="1" t="s">
        <v>26</v>
      </c>
      <c r="H3" s="1"/>
      <c r="I3" s="1"/>
      <c r="J3" s="1"/>
      <c r="K3" s="1"/>
      <c r="L3" s="1" t="s">
        <v>27</v>
      </c>
      <c r="M3" s="1"/>
      <c r="N3" s="1"/>
      <c r="O3" s="1"/>
      <c r="P3" s="1"/>
      <c r="Q3" s="1" t="s">
        <v>28</v>
      </c>
      <c r="R3" s="1"/>
      <c r="S3" s="1"/>
      <c r="T3" s="1"/>
      <c r="U3" s="1"/>
      <c r="V3" s="1" t="s">
        <v>29</v>
      </c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3">
      <c r="A4" s="1"/>
      <c r="B4" s="1"/>
      <c r="C4" s="1"/>
      <c r="D4" s="1"/>
      <c r="E4" s="1"/>
      <c r="F4" s="1"/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31</v>
      </c>
      <c r="N4" s="1" t="s">
        <v>32</v>
      </c>
      <c r="O4" s="1" t="s">
        <v>33</v>
      </c>
      <c r="P4" s="1" t="s">
        <v>34</v>
      </c>
      <c r="Q4" s="1" t="s">
        <v>35</v>
      </c>
      <c r="R4" s="1" t="s">
        <v>31</v>
      </c>
      <c r="S4" s="1" t="s">
        <v>32</v>
      </c>
      <c r="T4" s="1" t="s">
        <v>33</v>
      </c>
      <c r="U4" s="1" t="s">
        <v>34</v>
      </c>
      <c r="V4" s="1" t="s">
        <v>35</v>
      </c>
      <c r="W4" s="1" t="s">
        <v>31</v>
      </c>
      <c r="X4" s="1" t="s">
        <v>32</v>
      </c>
      <c r="Y4" s="1" t="s">
        <v>33</v>
      </c>
      <c r="Z4" s="1" t="s">
        <v>34</v>
      </c>
      <c r="AA4" s="1"/>
      <c r="AB4" s="1"/>
      <c r="AC4" s="1"/>
      <c r="AD4" s="1"/>
      <c r="AE4" s="1"/>
    </row>
    <row r="5" spans="1:31" x14ac:dyDescent="0.3">
      <c r="A5" s="1" t="s">
        <v>36</v>
      </c>
      <c r="B5" s="1"/>
      <c r="C5" s="1"/>
      <c r="D5" s="1"/>
      <c r="E5" s="1"/>
      <c r="F5" s="1">
        <v>6995</v>
      </c>
      <c r="G5" s="1">
        <v>5121</v>
      </c>
      <c r="H5" s="1">
        <v>4182</v>
      </c>
      <c r="I5" s="1">
        <v>377</v>
      </c>
      <c r="J5" s="1">
        <v>0</v>
      </c>
      <c r="K5" s="1">
        <v>562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5121</v>
      </c>
      <c r="W5" s="1">
        <v>4182</v>
      </c>
      <c r="X5" s="1">
        <v>377</v>
      </c>
      <c r="Y5" s="1">
        <v>0</v>
      </c>
      <c r="Z5" s="1">
        <v>562</v>
      </c>
      <c r="AA5" s="1">
        <v>1874</v>
      </c>
      <c r="AB5" s="1"/>
      <c r="AC5" s="1"/>
      <c r="AD5" s="1"/>
      <c r="AE5" s="1"/>
    </row>
    <row r="6" spans="1:31" x14ac:dyDescent="0.3">
      <c r="A6" s="1" t="s">
        <v>20</v>
      </c>
      <c r="B6" s="1"/>
      <c r="C6" s="1"/>
      <c r="D6" s="1" t="s">
        <v>35</v>
      </c>
      <c r="E6" s="1"/>
      <c r="F6" s="1">
        <v>6995</v>
      </c>
      <c r="G6" s="1">
        <v>5121</v>
      </c>
      <c r="H6" s="1">
        <v>4182</v>
      </c>
      <c r="I6" s="1">
        <v>377</v>
      </c>
      <c r="J6" s="1">
        <v>0</v>
      </c>
      <c r="K6" s="1">
        <v>562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5121</v>
      </c>
      <c r="W6" s="1">
        <v>4182</v>
      </c>
      <c r="X6" s="1">
        <v>377</v>
      </c>
      <c r="Y6" s="1">
        <v>0</v>
      </c>
      <c r="Z6" s="1">
        <v>562</v>
      </c>
      <c r="AA6" s="1">
        <v>1874</v>
      </c>
      <c r="AB6" s="1"/>
      <c r="AC6" s="1">
        <v>0</v>
      </c>
      <c r="AD6" s="1"/>
      <c r="AE6" s="1"/>
    </row>
    <row r="7" spans="1:31" x14ac:dyDescent="0.3">
      <c r="A7" s="1">
        <v>1</v>
      </c>
      <c r="B7" s="1" t="s">
        <v>37</v>
      </c>
      <c r="C7" s="1"/>
      <c r="D7" s="1"/>
      <c r="E7" s="1"/>
      <c r="F7" s="1">
        <v>4967</v>
      </c>
      <c r="G7" s="1">
        <v>4102</v>
      </c>
      <c r="H7" s="1">
        <v>3395</v>
      </c>
      <c r="I7" s="1">
        <v>145</v>
      </c>
      <c r="J7" s="1">
        <v>0</v>
      </c>
      <c r="K7" s="1">
        <v>562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4102</v>
      </c>
      <c r="W7" s="1">
        <v>3395</v>
      </c>
      <c r="X7" s="1">
        <v>145</v>
      </c>
      <c r="Y7" s="1">
        <v>0</v>
      </c>
      <c r="Z7" s="1">
        <v>562</v>
      </c>
      <c r="AA7" s="1">
        <v>865</v>
      </c>
      <c r="AB7" s="1"/>
      <c r="AC7" s="1"/>
      <c r="AD7" s="1"/>
      <c r="AE7" s="1" t="s">
        <v>5</v>
      </c>
    </row>
    <row r="8" spans="1:31" x14ac:dyDescent="0.3">
      <c r="A8" s="1">
        <v>2</v>
      </c>
      <c r="B8" s="1" t="s">
        <v>38</v>
      </c>
      <c r="C8" s="1"/>
      <c r="D8" s="1"/>
      <c r="E8" s="1"/>
      <c r="F8" s="1">
        <v>833</v>
      </c>
      <c r="G8" s="1">
        <v>117</v>
      </c>
      <c r="H8" s="1">
        <v>0</v>
      </c>
      <c r="I8" s="1">
        <v>117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117</v>
      </c>
      <c r="W8" s="1">
        <v>0</v>
      </c>
      <c r="X8" s="1">
        <v>117</v>
      </c>
      <c r="Y8" s="1">
        <v>0</v>
      </c>
      <c r="Z8" s="1">
        <v>0</v>
      </c>
      <c r="AA8" s="1">
        <v>716</v>
      </c>
      <c r="AB8" s="1"/>
      <c r="AC8" s="1"/>
      <c r="AD8" s="1"/>
      <c r="AE8" s="1" t="s">
        <v>7</v>
      </c>
    </row>
    <row r="9" spans="1:31" x14ac:dyDescent="0.3">
      <c r="A9" s="1">
        <v>3</v>
      </c>
      <c r="B9" s="1" t="s">
        <v>39</v>
      </c>
      <c r="C9" s="1"/>
      <c r="D9" s="1"/>
      <c r="E9" s="1"/>
      <c r="F9" s="1">
        <v>1195</v>
      </c>
      <c r="G9" s="1">
        <v>902</v>
      </c>
      <c r="H9" s="1">
        <v>787</v>
      </c>
      <c r="I9" s="1">
        <v>115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902</v>
      </c>
      <c r="W9" s="1">
        <v>787</v>
      </c>
      <c r="X9" s="1">
        <v>115</v>
      </c>
      <c r="Y9" s="1">
        <v>0</v>
      </c>
      <c r="Z9" s="1">
        <v>0</v>
      </c>
      <c r="AA9" s="1">
        <v>293</v>
      </c>
      <c r="AB9" s="1"/>
      <c r="AC9" s="1"/>
      <c r="AD9" s="1"/>
      <c r="AE9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손명선</dc:creator>
  <cp:lastModifiedBy>손명선</cp:lastModifiedBy>
  <dcterms:created xsi:type="dcterms:W3CDTF">2026-01-08T07:42:43Z</dcterms:created>
  <dcterms:modified xsi:type="dcterms:W3CDTF">2026-01-19T06:39:01Z</dcterms:modified>
</cp:coreProperties>
</file>